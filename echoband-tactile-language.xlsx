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terns" sheetId="1" state="visible" r:id="rId3"/>
    <sheet name="Platform codes" sheetId="2" state="visible" r:id="rId4"/>
    <sheet name="Test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<sst xmlns="http://schemas.openxmlformats.org/spreadsheetml/2006/main" count="79" uniqueCount="71">
  <si>
    <t xml:space="preserve">EchoBand tactile language: 4 servos (M1 to M4)</t>
  </si>
  <si>
    <t xml:space="preserve">Pattern is carried mainly by rhythm; servo position is secondary. Servos fire in sequence, never all at once, to avoid current spikes.</t>
  </si>
  <si>
    <t xml:space="preserve">No.</t>
  </si>
  <si>
    <t xml:space="preserve">Signal</t>
  </si>
  <si>
    <t xml:space="preserve">Pattern (what the wearer feels)</t>
  </si>
  <si>
    <t xml:space="preserve">Servos used</t>
  </si>
  <si>
    <t xml:space="preserve">Meaning</t>
  </si>
  <si>
    <t xml:space="preserve">Delivery note</t>
  </si>
  <si>
    <t xml:space="preserve">Attention</t>
  </si>
  <si>
    <t xml:space="preserve">Wave M1 to M4, once</t>
  </si>
  <si>
    <t xml:space="preserve">M1, M2, M3, M4 in sequence</t>
  </si>
  <si>
    <t xml:space="preserve">New alert incoming</t>
  </si>
  <si>
    <t xml:space="preserve">Wave is easier to feel than a simultaneous buzz</t>
  </si>
  <si>
    <t xml:space="preserve">Platform</t>
  </si>
  <si>
    <t xml:space="preserve">M1 long tap, then M2 short taps equal to the platform number</t>
  </si>
  <si>
    <t xml:space="preserve">M1, M2</t>
  </si>
  <si>
    <t xml:space="preserve">Platform information follows (platform number given by M2 tap count)</t>
  </si>
  <si>
    <t xml:space="preserve">See Platform codes sheet</t>
  </si>
  <si>
    <t xml:space="preserve">Delay</t>
  </si>
  <si>
    <t xml:space="preserve">M2 two short taps</t>
  </si>
  <si>
    <t xml:space="preserve">M2</t>
  </si>
  <si>
    <t xml:space="preserve">Train delayed</t>
  </si>
  <si>
    <t xml:space="preserve">Delay length goes to the phone page</t>
  </si>
  <si>
    <t xml:space="preserve">Departure / boarding</t>
  </si>
  <si>
    <t xml:space="preserve">M3 long tap</t>
  </si>
  <si>
    <t xml:space="preserve">M3</t>
  </si>
  <si>
    <t xml:space="preserve">Departure or boarding information</t>
  </si>
  <si>
    <t xml:space="preserve">Urgent</t>
  </si>
  <si>
    <t xml:space="preserve">M4 three rapid taps, repeated until the wearer double-taps</t>
  </si>
  <si>
    <t xml:space="preserve">M4</t>
  </si>
  <si>
    <t xml:space="preserve">Urgent announcement</t>
  </si>
  <si>
    <t xml:space="preserve">Stops on tap acknowledgment (MPU6050)</t>
  </si>
  <si>
    <t xml:space="preserve">Cancellation</t>
  </si>
  <si>
    <t xml:space="preserve">M2 then M4</t>
  </si>
  <si>
    <t xml:space="preserve">M2, M4 in sequence</t>
  </si>
  <si>
    <t xml:space="preserve">Service cancelled</t>
  </si>
  <si>
    <t xml:space="preserve">Message ended</t>
  </si>
  <si>
    <t xml:space="preserve">Wave M4 to M1 (reverse of Attention)</t>
  </si>
  <si>
    <t xml:space="preserve">M4, M3, M2, M1 in sequence</t>
  </si>
  <si>
    <t xml:space="preserve">Message complete</t>
  </si>
  <si>
    <t xml:space="preserve">Mirrors Attention so it is easy to remember</t>
  </si>
  <si>
    <t xml:space="preserve">Timing starting values (tune on the day)</t>
  </si>
  <si>
    <t xml:space="preserve">Setting</t>
  </si>
  <si>
    <t xml:space="preserve">Value</t>
  </si>
  <si>
    <t xml:space="preserve">Unit</t>
  </si>
  <si>
    <t xml:space="preserve">Basis</t>
  </si>
  <si>
    <t xml:space="preserve">Short tap</t>
  </si>
  <si>
    <t xml:space="preserve">ms</t>
  </si>
  <si>
    <t xml:space="preserve">Our starting proposal, not user-tested</t>
  </si>
  <si>
    <t xml:space="preserve">Long tap</t>
  </si>
  <si>
    <t xml:space="preserve">Gap between taps</t>
  </si>
  <si>
    <t xml:space="preserve">Delay between servos in a wave</t>
  </si>
  <si>
    <t xml:space="preserve">Our starting proposal, to avoid power spikes</t>
  </si>
  <si>
    <t xml:space="preserve">Yellow cells with blue text are values you can change. Test every pattern with real people before relying on it; urgent alerts must never depend on this prototype alone.</t>
  </si>
  <si>
    <t xml:space="preserve">Platform number: M2 tap count after the M1 long tap</t>
  </si>
  <si>
    <t xml:space="preserve">M2 short taps</t>
  </si>
  <si>
    <t xml:space="preserve">Pattern the wearer feels</t>
  </si>
  <si>
    <t xml:space="preserve">Platforms 1 to 5 only for this prototype. Add rows for more platforms; the count rises with the number, so keep it small or switch to a different code.</t>
  </si>
  <si>
    <t xml:space="preserve">Pattern distinguishability test</t>
  </si>
  <si>
    <t xml:space="preserve">How to use: play each pattern to a tester without telling them what it is. Enter Y if they named the signal correctly, N if not. Edit only the yellow cells. Leave blank for tests not run.</t>
  </si>
  <si>
    <t xml:space="preserve">Tester 1</t>
  </si>
  <si>
    <t xml:space="preserve">Tester 2</t>
  </si>
  <si>
    <t xml:space="preserve">Tester 3</t>
  </si>
  <si>
    <t xml:space="preserve">Correct</t>
  </si>
  <si>
    <t xml:space="preserve">Tests run</t>
  </si>
  <si>
    <t xml:space="preserve">Accuracy</t>
  </si>
  <si>
    <t xml:space="preserve">Example (not counted): Platform</t>
  </si>
  <si>
    <t xml:space="preserve">Y</t>
  </si>
  <si>
    <t xml:space="preserve">N</t>
  </si>
  <si>
    <t xml:space="preserve">Overall</t>
  </si>
  <si>
    <t xml:space="preserve">Report the overall figure only after real tests are entered; do not quote it before then.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</si>
</sst>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6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85" hidden="false" customHeight="false" outlineLevel="0" collapsed="false">
      <c r="A5" s="4" t="n">
        <v>1</v>
      </c>
      <c r="B5" s="5" t="s">
        <v>8</v>
      </c>
      <c r="C5" s="6" t="s">
        <v>9</v>
      </c>
      <c r="D5" s="6" t="s">
        <v>10</v>
      </c>
      <c r="E5" s="6" t="s">
        <v>11</v>
      </c>
      <c r="F5" s="6" t="s">
        <v>12</v>
      </c>
    </row>
    <row r="6" customFormat="false" ht="26.85" hidden="false" customHeight="false" outlineLevel="0" collapsed="false">
      <c r="A6" s="4" t="n">
        <v>2</v>
      </c>
      <c r="B6" s="5" t="s">
        <v>13</v>
      </c>
      <c r="C6" s="6" t="s">
        <v>14</v>
      </c>
      <c r="D6" s="6" t="s">
        <v>15</v>
      </c>
      <c r="E6" s="6" t="s">
        <v>16</v>
      </c>
      <c r="F6" s="6" t="s">
        <v>17</v>
      </c>
    </row>
    <row r="7" customFormat="false" ht="15" hidden="false" customHeight="false" outlineLevel="0" collapsed="false">
      <c r="A7" s="4" t="n">
        <v>3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</row>
    <row r="8" customFormat="false" ht="15" hidden="false" customHeight="false" outlineLevel="0" collapsed="false">
      <c r="A8" s="4" t="n">
        <v>4</v>
      </c>
      <c r="B8" s="5" t="s">
        <v>23</v>
      </c>
      <c r="C8" s="6" t="s">
        <v>24</v>
      </c>
      <c r="D8" s="6" t="s">
        <v>25</v>
      </c>
      <c r="E8" s="6" t="s">
        <v>26</v>
      </c>
      <c r="F8" s="6"/>
    </row>
    <row r="9" customFormat="false" ht="26.85" hidden="false" customHeight="false" outlineLevel="0" collapsed="false">
      <c r="A9" s="4" t="n">
        <v>5</v>
      </c>
      <c r="B9" s="5" t="s">
        <v>27</v>
      </c>
      <c r="C9" s="6" t="s">
        <v>28</v>
      </c>
      <c r="D9" s="6" t="s">
        <v>29</v>
      </c>
      <c r="E9" s="6" t="s">
        <v>30</v>
      </c>
      <c r="F9" s="6" t="s">
        <v>31</v>
      </c>
    </row>
    <row r="10" customFormat="false" ht="15" hidden="false" customHeight="false" outlineLevel="0" collapsed="false">
      <c r="A10" s="4" t="n">
        <v>6</v>
      </c>
      <c r="B10" s="5" t="s">
        <v>32</v>
      </c>
      <c r="C10" s="6" t="s">
        <v>33</v>
      </c>
      <c r="D10" s="6" t="s">
        <v>34</v>
      </c>
      <c r="E10" s="6" t="s">
        <v>35</v>
      </c>
      <c r="F10" s="6"/>
    </row>
    <row r="11" customFormat="false" ht="15" hidden="false" customHeight="false" outlineLevel="0" collapsed="false">
      <c r="A11" s="4" t="n">
        <v>7</v>
      </c>
      <c r="B11" s="5" t="s">
        <v>36</v>
      </c>
      <c r="C11" s="6" t="s">
        <v>37</v>
      </c>
      <c r="D11" s="6" t="s">
        <v>38</v>
      </c>
      <c r="E11" s="6" t="s">
        <v>39</v>
      </c>
      <c r="F11" s="6" t="s">
        <v>40</v>
      </c>
    </row>
    <row r="14" customFormat="false" ht="15" hidden="false" customHeight="false" outlineLevel="0" collapsed="false">
      <c r="A14" s="7" t="s">
        <v>41</v>
      </c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44</v>
      </c>
      <c r="E15" s="3" t="s">
        <v>45</v>
      </c>
      <c r="F15" s="3"/>
    </row>
    <row r="16" customFormat="false" ht="15" hidden="false" customHeight="false" outlineLevel="0" collapsed="false">
      <c r="B16" s="6" t="s">
        <v>46</v>
      </c>
      <c r="C16" s="8" t="n">
        <v>200</v>
      </c>
      <c r="D16" s="6" t="s">
        <v>47</v>
      </c>
      <c r="E16" s="6" t="s">
        <v>48</v>
      </c>
    </row>
    <row r="17" customFormat="false" ht="15" hidden="false" customHeight="false" outlineLevel="0" collapsed="false">
      <c r="B17" s="6" t="s">
        <v>49</v>
      </c>
      <c r="C17" s="8" t="n">
        <v>600</v>
      </c>
      <c r="D17" s="6" t="s">
        <v>47</v>
      </c>
      <c r="E17" s="6" t="s">
        <v>48</v>
      </c>
    </row>
    <row r="18" customFormat="false" ht="15" hidden="false" customHeight="false" outlineLevel="0" collapsed="false">
      <c r="B18" s="6" t="s">
        <v>50</v>
      </c>
      <c r="C18" s="8" t="n">
        <v>200</v>
      </c>
      <c r="D18" s="6" t="s">
        <v>47</v>
      </c>
      <c r="E18" s="6" t="s">
        <v>48</v>
      </c>
    </row>
    <row r="19" customFormat="false" ht="26.85" hidden="false" customHeight="false" outlineLevel="0" collapsed="false">
      <c r="B19" s="6" t="s">
        <v>51</v>
      </c>
      <c r="C19" s="8" t="n">
        <v>50</v>
      </c>
      <c r="D19" s="6" t="s">
        <v>47</v>
      </c>
      <c r="E19" s="6" t="s">
        <v>52</v>
      </c>
    </row>
    <row r="21" customFormat="false" ht="15" hidden="false" customHeight="false" outlineLevel="0" collapsed="false">
      <c r="A21" s="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1" t="s">
        <v>54</v>
      </c>
    </row>
    <row r="3" customFormat="false" ht="15" hidden="false" customHeight="false" outlineLevel="0" collapsed="false">
      <c r="A3" s="3" t="s">
        <v>13</v>
      </c>
      <c r="B3" s="3" t="s">
        <v>55</v>
      </c>
      <c r="C3" s="3" t="s">
        <v>56</v>
      </c>
    </row>
    <row r="4" customFormat="false" ht="15" hidden="false" customHeight="false" outlineLevel="0" collapsed="false">
      <c r="A4" s="6" t="n">
        <v>1</v>
      </c>
      <c r="B4" s="6" t="n">
        <f aca="false">A4</f>
        <v>1</v>
      </c>
      <c r="C4" s="6" t="str">
        <f aca="false">"M1 long tap, then M2 x "&amp;B4&amp;" short tap"&amp;IF(B4=1,"","s")</f>
        <v>M1 long tap, then M2 x 1 short tap</v>
      </c>
    </row>
    <row r="5" customFormat="false" ht="15" hidden="false" customHeight="false" outlineLevel="0" collapsed="false">
      <c r="A5" s="6" t="n">
        <v>2</v>
      </c>
      <c r="B5" s="6" t="n">
        <f aca="false">A5</f>
        <v>2</v>
      </c>
      <c r="C5" s="6" t="str">
        <f aca="false">"M1 long tap, then M2 x "&amp;B5&amp;" short tap"&amp;IF(B5=1,"","s")</f>
        <v>M1 long tap, then M2 x 2 short taps</v>
      </c>
    </row>
    <row r="6" customFormat="false" ht="15" hidden="false" customHeight="false" outlineLevel="0" collapsed="false">
      <c r="A6" s="6" t="n">
        <v>3</v>
      </c>
      <c r="B6" s="6" t="n">
        <f aca="false">A6</f>
        <v>3</v>
      </c>
      <c r="C6" s="6" t="str">
        <f aca="false">"M1 long tap, then M2 x "&amp;B6&amp;" short tap"&amp;IF(B6=1,"","s")</f>
        <v>M1 long tap, then M2 x 3 short taps</v>
      </c>
    </row>
    <row r="7" customFormat="false" ht="15" hidden="false" customHeight="false" outlineLevel="0" collapsed="false">
      <c r="A7" s="6" t="n">
        <v>4</v>
      </c>
      <c r="B7" s="6" t="n">
        <f aca="false">A7</f>
        <v>4</v>
      </c>
      <c r="C7" s="6" t="str">
        <f aca="false">"M1 long tap, then M2 x "&amp;B7&amp;" short tap"&amp;IF(B7=1,"","s")</f>
        <v>M1 long tap, then M2 x 4 short taps</v>
      </c>
    </row>
    <row r="8" customFormat="false" ht="15" hidden="false" customHeight="false" outlineLevel="0" collapsed="false">
      <c r="A8" s="6" t="n">
        <v>5</v>
      </c>
      <c r="B8" s="6" t="n">
        <f aca="false">A8</f>
        <v>5</v>
      </c>
      <c r="C8" s="6" t="str">
        <f aca="false">"M1 long tap, then M2 x "&amp;B8&amp;" short tap"&amp;IF(B8=1,"","s")</f>
        <v>M1 long tap, then M2 x 5 short taps</v>
      </c>
    </row>
    <row r="10" customFormat="false" ht="15" hidden="false" customHeight="false" outlineLevel="0" collapsed="false">
      <c r="A10" s="2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1"/>
    <col collapsed="false" customWidth="true" hidden="false" outlineLevel="0" max="5" min="5" style="0" width="10"/>
    <col collapsed="false" customWidth="true" hidden="false" outlineLevel="0" max="7" min="6" style="0" width="11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15" hidden="false" customHeight="false" outlineLevel="0" collapsed="false">
      <c r="A4" s="3" t="s">
        <v>3</v>
      </c>
      <c r="B4" s="3" t="s">
        <v>60</v>
      </c>
      <c r="C4" s="3" t="s">
        <v>61</v>
      </c>
      <c r="D4" s="3" t="s">
        <v>62</v>
      </c>
      <c r="E4" s="3" t="s">
        <v>63</v>
      </c>
      <c r="F4" s="3" t="s">
        <v>64</v>
      </c>
      <c r="G4" s="3" t="s">
        <v>65</v>
      </c>
    </row>
    <row r="5" customFormat="false" ht="15" hidden="false" customHeight="false" outlineLevel="0" collapsed="false">
      <c r="A5" s="9" t="s">
        <v>66</v>
      </c>
      <c r="B5" s="9" t="s">
        <v>67</v>
      </c>
      <c r="C5" s="9" t="s">
        <v>68</v>
      </c>
      <c r="D5" s="9" t="s">
        <v>67</v>
      </c>
      <c r="E5" s="9" t="n">
        <f aca="false">COUNTIF(B5:D5,"Y")</f>
        <v>2</v>
      </c>
      <c r="F5" s="9" t="n">
        <f aca="false">COUNTA(B5:D5)</f>
        <v>3</v>
      </c>
      <c r="G5" s="10" t="n">
        <f aca="false">IF(F5=0,"",E5/F5)</f>
        <v>0.666666666666667</v>
      </c>
    </row>
    <row r="6" customFormat="false" ht="15" hidden="false" customHeight="false" outlineLevel="0" collapsed="false">
      <c r="A6" s="11" t="str">
        <f aca="false">Patterns!B5</f>
        <v>Attention</v>
      </c>
      <c r="B6" s="12"/>
      <c r="C6" s="12"/>
      <c r="D6" s="12"/>
      <c r="E6" s="6" t="n">
        <f aca="false">COUNTIF(B6:D6,"Y")</f>
        <v>0</v>
      </c>
      <c r="F6" s="6" t="n">
        <f aca="false">COUNTA(B6:D6)</f>
        <v>0</v>
      </c>
      <c r="G6" s="13" t="str">
        <f aca="false">IF(F6=0,"",E6/F6)</f>
        <v/>
      </c>
    </row>
    <row r="7" customFormat="false" ht="15" hidden="false" customHeight="false" outlineLevel="0" collapsed="false">
      <c r="A7" s="11" t="str">
        <f aca="false">Patterns!B6</f>
        <v>Platform</v>
      </c>
      <c r="B7" s="12"/>
      <c r="C7" s="12"/>
      <c r="D7" s="12"/>
      <c r="E7" s="6" t="n">
        <f aca="false">COUNTIF(B7:D7,"Y")</f>
        <v>0</v>
      </c>
      <c r="F7" s="6" t="n">
        <f aca="false">COUNTA(B7:D7)</f>
        <v>0</v>
      </c>
      <c r="G7" s="13" t="str">
        <f aca="false">IF(F7=0,"",E7/F7)</f>
        <v/>
      </c>
    </row>
    <row r="8" customFormat="false" ht="15" hidden="false" customHeight="false" outlineLevel="0" collapsed="false">
      <c r="A8" s="11" t="str">
        <f aca="false">Patterns!B7</f>
        <v>Delay</v>
      </c>
      <c r="B8" s="12"/>
      <c r="C8" s="12"/>
      <c r="D8" s="12"/>
      <c r="E8" s="6" t="n">
        <f aca="false">COUNTIF(B8:D8,"Y")</f>
        <v>0</v>
      </c>
      <c r="F8" s="6" t="n">
        <f aca="false">COUNTA(B8:D8)</f>
        <v>0</v>
      </c>
      <c r="G8" s="13" t="str">
        <f aca="false">IF(F8=0,"",E8/F8)</f>
        <v/>
      </c>
    </row>
    <row r="9" customFormat="false" ht="15" hidden="false" customHeight="false" outlineLevel="0" collapsed="false">
      <c r="A9" s="11" t="str">
        <f aca="false">Patterns!B8</f>
        <v>Departure / boarding</v>
      </c>
      <c r="B9" s="12"/>
      <c r="C9" s="12"/>
      <c r="D9" s="12"/>
      <c r="E9" s="6" t="n">
        <f aca="false">COUNTIF(B9:D9,"Y")</f>
        <v>0</v>
      </c>
      <c r="F9" s="6" t="n">
        <f aca="false">COUNTA(B9:D9)</f>
        <v>0</v>
      </c>
      <c r="G9" s="13" t="str">
        <f aca="false">IF(F9=0,"",E9/F9)</f>
        <v/>
      </c>
    </row>
    <row r="10" customFormat="false" ht="15" hidden="false" customHeight="false" outlineLevel="0" collapsed="false">
      <c r="A10" s="11" t="str">
        <f aca="false">Patterns!B9</f>
        <v>Urgent</v>
      </c>
      <c r="B10" s="12"/>
      <c r="C10" s="12"/>
      <c r="D10" s="12"/>
      <c r="E10" s="6" t="n">
        <f aca="false">COUNTIF(B10:D10,"Y")</f>
        <v>0</v>
      </c>
      <c r="F10" s="6" t="n">
        <f aca="false">COUNTA(B10:D10)</f>
        <v>0</v>
      </c>
      <c r="G10" s="13" t="str">
        <f aca="false">IF(F10=0,"",E10/F10)</f>
        <v/>
      </c>
    </row>
    <row r="11" customFormat="false" ht="15" hidden="false" customHeight="false" outlineLevel="0" collapsed="false">
      <c r="A11" s="11" t="str">
        <f aca="false">Patterns!B10</f>
        <v>Cancellation</v>
      </c>
      <c r="B11" s="12"/>
      <c r="C11" s="12"/>
      <c r="D11" s="12"/>
      <c r="E11" s="6" t="n">
        <f aca="false">COUNTIF(B11:D11,"Y")</f>
        <v>0</v>
      </c>
      <c r="F11" s="6" t="n">
        <f aca="false">COUNTA(B11:D11)</f>
        <v>0</v>
      </c>
      <c r="G11" s="13" t="str">
        <f aca="false">IF(F11=0,"",E11/F11)</f>
        <v/>
      </c>
    </row>
    <row r="12" customFormat="false" ht="15" hidden="false" customHeight="false" outlineLevel="0" collapsed="false">
      <c r="A12" s="11" t="str">
        <f aca="false">Patterns!B11</f>
        <v>Message ended</v>
      </c>
      <c r="B12" s="12"/>
      <c r="C12" s="12"/>
      <c r="D12" s="12"/>
      <c r="E12" s="6" t="n">
        <f aca="false">COUNTIF(B12:D12,"Y")</f>
        <v>0</v>
      </c>
      <c r="F12" s="6" t="n">
        <f aca="false">COUNTA(B12:D12)</f>
        <v>0</v>
      </c>
      <c r="G12" s="13" t="str">
        <f aca="false">IF(F12=0,"",E12/F12)</f>
        <v/>
      </c>
    </row>
    <row r="13" customFormat="false" ht="15" hidden="false" customHeight="false" outlineLevel="0" collapsed="false">
      <c r="A13" s="14" t="s">
        <v>69</v>
      </c>
      <c r="B13" s="14"/>
      <c r="C13" s="14"/>
      <c r="D13" s="14"/>
      <c r="E13" s="14" t="n">
        <f aca="false">SUM(E6:E12)</f>
        <v>0</v>
      </c>
      <c r="F13" s="14" t="n">
        <f aca="false">SUM(F6:F12)</f>
        <v>0</v>
      </c>
      <c r="G13" s="15" t="str">
        <f aca="false">IF(F13=0,"",E13/F13)</f>
        <v/>
      </c>
    </row>
    <row r="15" customFormat="false" ht="15" hidden="false" customHeight="false" outlineLevel="0" collapsed="false">
      <c r="A15" s="2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2026-10-10T03:56:23Z</dcterms:created>
  <dc:creator>openpyxl</dc:creator>
  <dc:description/>
  <dc:language>en-US</dc:language>
  <cp:lastModifiedBy/>
  <dcterms:modified xsi:type="dcterms:W3CDTF">2026-10-10T03:56:23Z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